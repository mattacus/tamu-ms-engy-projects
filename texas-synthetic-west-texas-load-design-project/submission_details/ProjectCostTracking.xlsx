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\My Drive (mlee12@tamu.edu)\[2025 Fall] ECEN 615 Electric Power System Analysis Methods\ECEN615_Fall2025_DesignProject\"/>
    </mc:Choice>
  </mc:AlternateContent>
  <xr:revisionPtr revIDLastSave="0" documentId="13_ncr:1_{EE820D2D-8E55-4825-BE94-4D8B2D9444B5}" xr6:coauthVersionLast="47" xr6:coauthVersionMax="47" xr10:uidLastSave="{00000000-0000-0000-0000-000000000000}"/>
  <bookViews>
    <workbookView xWindow="35325" yWindow="-21600" windowWidth="19425" windowHeight="21705" activeTab="1" xr2:uid="{C85E2A71-D660-41DD-AF9B-384F61A868F1}"/>
  </bookViews>
  <sheets>
    <sheet name="Cost OPEN LOOP" sheetId="1" r:id="rId1"/>
    <sheet name="Cost RING LOOP" sheetId="3" r:id="rId2"/>
    <sheet name="Compon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G29" i="1"/>
  <c r="G20" i="1"/>
  <c r="G30" i="3"/>
  <c r="G21" i="3"/>
  <c r="G12" i="3"/>
  <c r="F29" i="3"/>
  <c r="F28" i="3"/>
  <c r="F27" i="3"/>
  <c r="F26" i="3"/>
  <c r="F25" i="3"/>
  <c r="F24" i="3"/>
  <c r="F23" i="3"/>
  <c r="F20" i="3"/>
  <c r="F19" i="3"/>
  <c r="F18" i="3"/>
  <c r="F17" i="3"/>
  <c r="F16" i="3"/>
  <c r="F15" i="3"/>
  <c r="F14" i="3"/>
  <c r="E11" i="3"/>
  <c r="F11" i="3" s="1"/>
  <c r="E10" i="3"/>
  <c r="F10" i="3" s="1"/>
  <c r="E9" i="3"/>
  <c r="F9" i="3" s="1"/>
  <c r="E8" i="3"/>
  <c r="F8" i="3" s="1"/>
  <c r="F7" i="3"/>
  <c r="E7" i="3"/>
  <c r="E6" i="3"/>
  <c r="F6" i="3" s="1"/>
  <c r="E5" i="3"/>
  <c r="F5" i="3" s="1"/>
  <c r="E4" i="3"/>
  <c r="F4" i="3" s="1"/>
  <c r="E3" i="3"/>
  <c r="F3" i="3" s="1"/>
  <c r="G11" i="1"/>
  <c r="F5" i="1"/>
  <c r="F4" i="1"/>
  <c r="F3" i="1"/>
  <c r="E8" i="1"/>
  <c r="F8" i="1" s="1"/>
  <c r="E9" i="1"/>
  <c r="F9" i="1" s="1"/>
  <c r="F18" i="1"/>
  <c r="F27" i="1"/>
  <c r="E7" i="1"/>
  <c r="F7" i="1" s="1"/>
  <c r="F17" i="1"/>
  <c r="F26" i="1"/>
  <c r="E6" i="1"/>
  <c r="F6" i="1" s="1"/>
  <c r="E5" i="1"/>
  <c r="E4" i="1"/>
  <c r="E10" i="1"/>
  <c r="E3" i="1"/>
  <c r="F16" i="1"/>
  <c r="F25" i="1"/>
  <c r="F15" i="1"/>
  <c r="F24" i="1"/>
  <c r="F14" i="1"/>
  <c r="F23" i="1"/>
  <c r="F13" i="1"/>
  <c r="F19" i="1"/>
  <c r="F28" i="1"/>
  <c r="F22" i="1"/>
  <c r="B18" i="2"/>
  <c r="B15" i="2"/>
  <c r="F33" i="3" l="1"/>
  <c r="F32" i="1"/>
</calcChain>
</file>

<file path=xl/sharedStrings.xml><?xml version="1.0" encoding="utf-8"?>
<sst xmlns="http://schemas.openxmlformats.org/spreadsheetml/2006/main" count="139" uniqueCount="56">
  <si>
    <t># --- LINES ---</t>
  </si>
  <si>
    <t># --- TRANSFORMERS ---</t>
  </si>
  <si>
    <t># --- SUBSTATIONS ---</t>
  </si>
  <si>
    <t># --- TOTALS ---</t>
  </si>
  <si>
    <t>Description</t>
  </si>
  <si>
    <t>Quantity</t>
  </si>
  <si>
    <t>Total_Item_Cost</t>
  </si>
  <si>
    <t>500kV Line</t>
  </si>
  <si>
    <t>230kV Line</t>
  </si>
  <si>
    <t>500/230kV Transformer</t>
  </si>
  <si>
    <t>Substation Upgrade (230kV to 500kV)</t>
  </si>
  <si>
    <t>New 230kV Substation</t>
  </si>
  <si>
    <t>Total_Transmission_Capital_Cost</t>
  </si>
  <si>
    <t>230/115kV Transformer</t>
  </si>
  <si>
    <t>New 500kV Substation</t>
  </si>
  <si>
    <t>New 500kV Substation + 230kV</t>
  </si>
  <si>
    <t>115kV -&gt; 230kV Substation</t>
  </si>
  <si>
    <t>115kV -&gt; 230kV Substation + 500kV</t>
  </si>
  <si>
    <t>Lines</t>
  </si>
  <si>
    <t>Components</t>
  </si>
  <si>
    <t>Component</t>
  </si>
  <si>
    <t>Fixed Cost</t>
  </si>
  <si>
    <t>Variable Cost (per mile)</t>
  </si>
  <si>
    <t>Transformers</t>
  </si>
  <si>
    <t>Substations</t>
  </si>
  <si>
    <t>Reactance (p.u., per mile)</t>
  </si>
  <si>
    <t>Rating (MVA)</t>
  </si>
  <si>
    <t>Max ROW length (miles)</t>
  </si>
  <si>
    <t>Reactance (p.u.)</t>
  </si>
  <si>
    <t>230kV -&gt;500kV Substation Upgrade</t>
  </si>
  <si>
    <t>Length_Miles</t>
  </si>
  <si>
    <t>ROW_Length_Miles</t>
  </si>
  <si>
    <t>[Bus3210] Upgrade NewLoad3200 Substation to 500kV</t>
  </si>
  <si>
    <t>[Bus1110] Upgrade NewLoad1100 Substation to 500kV</t>
  </si>
  <si>
    <t>[Bus1111] Upgrade NewLoad1101 Substation to 500kV</t>
  </si>
  <si>
    <t>[Bus1112] Upgrade NewLoad1102 Substation to 500kV</t>
  </si>
  <si>
    <t>[Bus3211] Upgrade NewLoad3201 Substation to 500kV</t>
  </si>
  <si>
    <t>[Bus1110-Bus1100] NewLoad1100 2x 500kV/230kV</t>
  </si>
  <si>
    <t>[Bus1111-Bus1101] NewLoad1101 2x 500kV/230kV</t>
  </si>
  <si>
    <t>[Bus1112-Bus1102] NewLoad1102 2x 500kV/230kV</t>
  </si>
  <si>
    <t>[Bus3211-Bus3201] NewLoad3201 2x 500kV/230kV</t>
  </si>
  <si>
    <t>[Bus3210-Bus3200] NewLoad3200 2x 500kV/230kV</t>
  </si>
  <si>
    <t>[Bus3334] Upgrade DEL RIO Substation to 500kV</t>
  </si>
  <si>
    <t>[Bus3334-Bus3050] DEL RIO 2x 500kV/230kV</t>
  </si>
  <si>
    <t>[Bus3333-Bus3018] CHRISTOVAL 2x 500kV/230kV</t>
  </si>
  <si>
    <t>[Bus3333] Upgrade CHRISTOVAL Substation to 500kV</t>
  </si>
  <si>
    <t>[Bus3333-Bus1110] (East Feed) NewLoad1100 to CHRISTOVAL 500kV</t>
  </si>
  <si>
    <t>[Bus1079-Bus1111] (North Feed) NewLoad1101 to ODESSA 1_8 500kV</t>
  </si>
  <si>
    <t>[Bus3334-Bus3211] (South Feed) NewLoad3201 to DEL RIO 500kV</t>
  </si>
  <si>
    <t>[Bus3333-Bus3210] (East Feed 2) NewLoad3200 to CHRISTOVAL 500kV</t>
  </si>
  <si>
    <t>[Bus3210-Bus3211] (Distribution Loop) NewLoad3200 to NewLoad3201 500kV</t>
  </si>
  <si>
    <t>[Bus3210-Bus1110] (Distribution Loop) NewLoad3200 to NewLoad1100 500kV</t>
  </si>
  <si>
    <t>[Bus1110-Bus1111] (Distribution Loop) NewLoad1100 to NewLoad1101 500kV</t>
  </si>
  <si>
    <t>[Bus1111-Bus1112] (Distribution Loop) NewLoad1101 to NewLoad1102 500kV</t>
  </si>
  <si>
    <t>[Bus1112-Bus3211] (Distribution Loop) NewLoad1102 to NewLoad3201 500kV</t>
  </si>
  <si>
    <t>Category_Total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</si>
</sst>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8">
    <xf numFmtId="0" fontId="0" fillId="0" borderId="0" xfId="0"/>
    <xf numFmtId="44" fontId="0" fillId="0" borderId="0" xfId="1" applyFont="1"/>
    <xf numFmtId="44" fontId="2" fillId="0" borderId="0" xfId="1" applyFont="1"/>
    <xf numFmtId="0" fontId="1" fillId="4" borderId="1" xfId="4" applyBorder="1"/>
    <xf numFmtId="44" fontId="1" fillId="4" borderId="1" xfId="4" applyNumberFormat="1" applyBorder="1"/>
    <xf numFmtId="0" fontId="2" fillId="4" borderId="1" xfId="4" applyFont="1" applyBorder="1"/>
    <xf numFmtId="44" fontId="2" fillId="4" borderId="1" xfId="4" applyNumberFormat="1" applyFont="1" applyBorder="1"/>
    <xf numFmtId="0" fontId="1" fillId="3" borderId="1" xfId="3" applyBorder="1"/>
    <xf numFmtId="0" fontId="0" fillId="0" borderId="1" xfId="0" applyBorder="1"/>
    <xf numFmtId="44" fontId="0" fillId="0" borderId="1" xfId="1" applyFont="1" applyBorder="1"/>
    <xf numFmtId="0" fontId="1" fillId="2" borderId="1" xfId="2" applyBorder="1"/>
    <xf numFmtId="0" fontId="2" fillId="3" borderId="1" xfId="3" applyFont="1" applyBorder="1" applyAlignment="1"/>
    <xf numFmtId="0" fontId="2" fillId="2" borderId="1" xfId="2" applyFont="1" applyBorder="1" applyAlignment="1">
      <alignment horizontal="center"/>
    </xf>
    <xf numFmtId="44" fontId="1" fillId="2" borderId="1" xfId="2" applyNumberFormat="1" applyBorder="1"/>
    <xf numFmtId="0" fontId="2" fillId="2" borderId="1" xfId="2" applyFont="1" applyBorder="1" applyAlignment="1">
      <alignment horizontal="left"/>
    </xf>
    <xf numFmtId="44" fontId="1" fillId="3" borderId="1" xfId="3" applyNumberFormat="1" applyBorder="1"/>
    <xf numFmtId="0" fontId="2" fillId="3" borderId="2" xfId="3" applyFont="1" applyBorder="1" applyAlignment="1"/>
    <xf numFmtId="0" fontId="2" fillId="3" borderId="3" xfId="3" applyFont="1" applyBorder="1" applyAlignment="1"/>
    <xf numFmtId="0" fontId="2" fillId="3" borderId="4" xfId="3" applyFont="1" applyBorder="1" applyAlignment="1"/>
    <xf numFmtId="0" fontId="2" fillId="3" borderId="1" xfId="3" applyFont="1" applyBorder="1"/>
    <xf numFmtId="0" fontId="2" fillId="2" borderId="1" xfId="2" applyFont="1" applyBorder="1" applyAlignment="1"/>
    <xf numFmtId="0" fontId="2" fillId="2" borderId="0" xfId="2" applyFont="1"/>
    <xf numFmtId="0" fontId="2" fillId="2" borderId="1" xfId="2" applyFont="1" applyBorder="1"/>
    <xf numFmtId="0" fontId="2" fillId="4" borderId="2" xfId="4" applyFont="1" applyBorder="1" applyAlignment="1"/>
    <xf numFmtId="0" fontId="2" fillId="4" borderId="4" xfId="4" applyFont="1" applyBorder="1" applyAlignment="1"/>
    <xf numFmtId="0" fontId="2" fillId="4" borderId="1" xfId="4" applyFont="1" applyBorder="1" applyAlignment="1">
      <alignment horizontal="left"/>
    </xf>
    <xf numFmtId="0" fontId="2" fillId="4" borderId="1" xfId="4" applyFont="1" applyBorder="1" applyAlignment="1">
      <alignment horizontal="center"/>
    </xf>
    <xf numFmtId="0" fontId="1" fillId="4" borderId="1" xfId="4" applyFont="1" applyBorder="1"/>
  </cellXfs>
  <cellStyles count="5">
    <cellStyle name="20% - Accent1" xfId="2" builtinId="30"/>
    <cellStyle name="20% - Accent4" xfId="3" builtinId="42"/>
    <cellStyle name="20% - Accent6" xfId="4" builtinId="50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1AFB-0831-42C6-8989-0ECD42ADA96A}">
  <dimension ref="A1:L32"/>
  <sheetViews>
    <sheetView zoomScaleNormal="100" workbookViewId="0">
      <selection activeCell="B37" sqref="B37"/>
    </sheetView>
  </sheetViews>
  <sheetFormatPr defaultRowHeight="15" x14ac:dyDescent="0.25"/>
  <cols>
    <col min="1" max="1" width="35.5703125" customWidth="1"/>
    <col min="2" max="2" width="70" bestFit="1" customWidth="1"/>
    <col min="3" max="3" width="9.140625" customWidth="1"/>
    <col min="4" max="4" width="13.5703125" customWidth="1"/>
    <col min="5" max="5" width="19" customWidth="1"/>
    <col min="6" max="6" width="20" style="1" bestFit="1" customWidth="1"/>
    <col min="7" max="7" width="22.28515625" style="2" customWidth="1"/>
    <col min="9" max="9" width="31.85546875" bestFit="1" customWidth="1"/>
    <col min="10" max="10" width="18.5703125" style="1" customWidth="1"/>
    <col min="11" max="11" width="21.85546875" bestFit="1" customWidth="1"/>
    <col min="12" max="12" width="17.85546875" style="1" customWidth="1"/>
  </cols>
  <sheetData>
    <row r="1" spans="1:10" x14ac:dyDescent="0.25">
      <c r="A1" s="5" t="s">
        <v>19</v>
      </c>
      <c r="B1" s="5" t="s">
        <v>4</v>
      </c>
      <c r="C1" s="5" t="s">
        <v>5</v>
      </c>
      <c r="D1" s="5" t="s">
        <v>30</v>
      </c>
      <c r="E1" s="5" t="s">
        <v>31</v>
      </c>
      <c r="F1" s="6" t="s">
        <v>6</v>
      </c>
      <c r="G1" s="6" t="s">
        <v>55</v>
      </c>
      <c r="J1"/>
    </row>
    <row r="2" spans="1:10" x14ac:dyDescent="0.25">
      <c r="A2" s="5" t="s">
        <v>0</v>
      </c>
      <c r="B2" s="3"/>
      <c r="C2" s="3"/>
      <c r="D2" s="3"/>
      <c r="E2" s="3"/>
      <c r="F2" s="4"/>
      <c r="G2" s="6"/>
      <c r="J2"/>
    </row>
    <row r="3" spans="1:10" x14ac:dyDescent="0.25">
      <c r="A3" s="3" t="s">
        <v>7</v>
      </c>
      <c r="B3" s="3" t="s">
        <v>50</v>
      </c>
      <c r="C3" s="3">
        <v>1</v>
      </c>
      <c r="D3" s="3">
        <v>58</v>
      </c>
      <c r="E3" s="3">
        <f>D3*1.2</f>
        <v>69.599999999999994</v>
      </c>
      <c r="F3" s="4">
        <f>(Components!$B$4+(E3*Components!$C$4))*C3</f>
        <v>223799999.99999997</v>
      </c>
      <c r="G3" s="6"/>
      <c r="J3"/>
    </row>
    <row r="4" spans="1:10" x14ac:dyDescent="0.25">
      <c r="A4" s="3" t="s">
        <v>7</v>
      </c>
      <c r="B4" s="3" t="s">
        <v>51</v>
      </c>
      <c r="C4" s="3">
        <v>1</v>
      </c>
      <c r="D4" s="3">
        <v>98</v>
      </c>
      <c r="E4" s="3">
        <f>D4*1.2</f>
        <v>117.6</v>
      </c>
      <c r="F4" s="4">
        <f>(Components!$B$4+(E4*Components!$C$4))*C4</f>
        <v>367800000</v>
      </c>
      <c r="G4" s="6"/>
      <c r="J4"/>
    </row>
    <row r="5" spans="1:10" x14ac:dyDescent="0.25">
      <c r="A5" s="3" t="s">
        <v>7</v>
      </c>
      <c r="B5" s="3" t="s">
        <v>52</v>
      </c>
      <c r="C5" s="3">
        <v>1</v>
      </c>
      <c r="D5" s="3">
        <v>72</v>
      </c>
      <c r="E5" s="3">
        <f>D5*1.2</f>
        <v>86.399999999999991</v>
      </c>
      <c r="F5" s="4">
        <f>(Components!$B$4+(E5*Components!$C$4))*C5</f>
        <v>274200000</v>
      </c>
      <c r="G5" s="6"/>
      <c r="J5"/>
    </row>
    <row r="6" spans="1:10" x14ac:dyDescent="0.25">
      <c r="A6" s="3" t="s">
        <v>7</v>
      </c>
      <c r="B6" s="3" t="s">
        <v>53</v>
      </c>
      <c r="C6" s="3">
        <v>2</v>
      </c>
      <c r="D6" s="3">
        <v>106</v>
      </c>
      <c r="E6" s="3">
        <f>D6*1.2</f>
        <v>127.19999999999999</v>
      </c>
      <c r="F6" s="4">
        <f>(Components!$B$4+(E6*Components!$C$4))*C6</f>
        <v>793199999.99999988</v>
      </c>
      <c r="G6" s="6"/>
      <c r="J6"/>
    </row>
    <row r="7" spans="1:10" x14ac:dyDescent="0.25">
      <c r="A7" s="3" t="s">
        <v>7</v>
      </c>
      <c r="B7" s="3" t="s">
        <v>47</v>
      </c>
      <c r="C7" s="3">
        <v>3</v>
      </c>
      <c r="D7" s="3">
        <v>34</v>
      </c>
      <c r="E7" s="3">
        <f>D7*1.2</f>
        <v>40.799999999999997</v>
      </c>
      <c r="F7" s="4">
        <f>(Components!$B$4+(E7*Components!$C$4))*C7</f>
        <v>412200000</v>
      </c>
      <c r="G7" s="6"/>
      <c r="J7"/>
    </row>
    <row r="8" spans="1:10" x14ac:dyDescent="0.25">
      <c r="A8" s="3" t="s">
        <v>7</v>
      </c>
      <c r="B8" s="3" t="s">
        <v>46</v>
      </c>
      <c r="C8" s="3">
        <v>1</v>
      </c>
      <c r="D8" s="3">
        <v>54</v>
      </c>
      <c r="E8" s="3">
        <f>D8*1.2</f>
        <v>64.8</v>
      </c>
      <c r="F8" s="4">
        <f>(Components!$B$4+(E8*Components!$C$4))*C8</f>
        <v>209400000</v>
      </c>
      <c r="G8" s="6"/>
      <c r="J8"/>
    </row>
    <row r="9" spans="1:10" x14ac:dyDescent="0.25">
      <c r="A9" s="27" t="s">
        <v>7</v>
      </c>
      <c r="B9" s="27" t="s">
        <v>49</v>
      </c>
      <c r="C9" s="27">
        <v>1</v>
      </c>
      <c r="D9" s="27">
        <v>65</v>
      </c>
      <c r="E9" s="27">
        <f>D9*1.2</f>
        <v>78</v>
      </c>
      <c r="F9" s="4">
        <f>(Components!$B$4+(E9*Components!$C$4))*C9</f>
        <v>249000000</v>
      </c>
      <c r="G9" s="6"/>
      <c r="J9"/>
    </row>
    <row r="10" spans="1:10" x14ac:dyDescent="0.25">
      <c r="A10" s="3" t="s">
        <v>7</v>
      </c>
      <c r="B10" s="3" t="s">
        <v>48</v>
      </c>
      <c r="C10" s="3">
        <v>2</v>
      </c>
      <c r="D10" s="3">
        <v>25</v>
      </c>
      <c r="E10" s="3">
        <f>D10*1.2</f>
        <v>30</v>
      </c>
      <c r="F10" s="4">
        <f>(Components!$B$4+(E10*Components!$C$4))*C10</f>
        <v>210000000</v>
      </c>
      <c r="G10" s="6"/>
      <c r="J10"/>
    </row>
    <row r="11" spans="1:10" x14ac:dyDescent="0.25">
      <c r="A11" s="3"/>
      <c r="B11" s="3"/>
      <c r="C11" s="3"/>
      <c r="D11" s="3"/>
      <c r="E11" s="3"/>
      <c r="F11" s="4"/>
      <c r="G11" s="6">
        <f>SUM(F3:F10)</f>
        <v>2739600000</v>
      </c>
      <c r="J11"/>
    </row>
    <row r="12" spans="1:10" x14ac:dyDescent="0.25">
      <c r="A12" s="5" t="s">
        <v>1</v>
      </c>
      <c r="B12" s="3"/>
      <c r="C12" s="3"/>
      <c r="D12" s="3"/>
      <c r="E12" s="3"/>
      <c r="F12" s="4"/>
      <c r="G12" s="6"/>
      <c r="J12"/>
    </row>
    <row r="13" spans="1:10" x14ac:dyDescent="0.25">
      <c r="A13" s="3" t="s">
        <v>9</v>
      </c>
      <c r="B13" s="3" t="s">
        <v>37</v>
      </c>
      <c r="C13" s="3">
        <v>2</v>
      </c>
      <c r="D13" s="3"/>
      <c r="E13" s="3"/>
      <c r="F13" s="4">
        <f>Components!$B$8*C13</f>
        <v>24000000</v>
      </c>
      <c r="G13" s="6"/>
      <c r="J13"/>
    </row>
    <row r="14" spans="1:10" x14ac:dyDescent="0.25">
      <c r="A14" s="3" t="s">
        <v>9</v>
      </c>
      <c r="B14" s="3" t="s">
        <v>38</v>
      </c>
      <c r="C14" s="3">
        <v>2</v>
      </c>
      <c r="D14" s="3"/>
      <c r="E14" s="3"/>
      <c r="F14" s="4">
        <f>Components!$B$8*C14</f>
        <v>24000000</v>
      </c>
      <c r="G14" s="6"/>
      <c r="J14"/>
    </row>
    <row r="15" spans="1:10" x14ac:dyDescent="0.25">
      <c r="A15" s="3" t="s">
        <v>9</v>
      </c>
      <c r="B15" s="3" t="s">
        <v>39</v>
      </c>
      <c r="C15" s="3">
        <v>2</v>
      </c>
      <c r="D15" s="3"/>
      <c r="E15" s="3"/>
      <c r="F15" s="4">
        <f>Components!$B$8*C15</f>
        <v>24000000</v>
      </c>
      <c r="G15" s="6"/>
      <c r="J15"/>
    </row>
    <row r="16" spans="1:10" x14ac:dyDescent="0.25">
      <c r="A16" s="3" t="s">
        <v>9</v>
      </c>
      <c r="B16" s="3" t="s">
        <v>40</v>
      </c>
      <c r="C16" s="3">
        <v>2</v>
      </c>
      <c r="D16" s="3"/>
      <c r="E16" s="3"/>
      <c r="F16" s="4">
        <f>Components!$B$8*C16</f>
        <v>24000000</v>
      </c>
      <c r="G16" s="6"/>
      <c r="J16"/>
    </row>
    <row r="17" spans="1:10" x14ac:dyDescent="0.25">
      <c r="A17" s="3" t="s">
        <v>9</v>
      </c>
      <c r="B17" s="3" t="s">
        <v>41</v>
      </c>
      <c r="C17" s="3">
        <v>2</v>
      </c>
      <c r="D17" s="3"/>
      <c r="E17" s="3"/>
      <c r="F17" s="4">
        <f>Components!$B$8*C17</f>
        <v>24000000</v>
      </c>
      <c r="G17" s="6"/>
      <c r="J17"/>
    </row>
    <row r="18" spans="1:10" x14ac:dyDescent="0.25">
      <c r="A18" s="3" t="s">
        <v>9</v>
      </c>
      <c r="B18" s="3" t="s">
        <v>44</v>
      </c>
      <c r="C18" s="3">
        <v>2</v>
      </c>
      <c r="D18" s="3"/>
      <c r="E18" s="3"/>
      <c r="F18" s="4">
        <f>Components!$B$8*C18</f>
        <v>24000000</v>
      </c>
      <c r="G18" s="6"/>
      <c r="J18"/>
    </row>
    <row r="19" spans="1:10" x14ac:dyDescent="0.25">
      <c r="A19" s="3" t="s">
        <v>9</v>
      </c>
      <c r="B19" s="3" t="s">
        <v>43</v>
      </c>
      <c r="C19" s="3">
        <v>2</v>
      </c>
      <c r="D19" s="3"/>
      <c r="E19" s="3"/>
      <c r="F19" s="4">
        <f>Components!$B$8*C19</f>
        <v>24000000</v>
      </c>
      <c r="G19" s="6"/>
      <c r="J19"/>
    </row>
    <row r="20" spans="1:10" x14ac:dyDescent="0.25">
      <c r="A20" s="3"/>
      <c r="B20" s="3"/>
      <c r="C20" s="3"/>
      <c r="D20" s="3"/>
      <c r="E20" s="3"/>
      <c r="F20" s="4"/>
      <c r="G20" s="6">
        <f>SUM(F13:F19)</f>
        <v>168000000</v>
      </c>
      <c r="J20"/>
    </row>
    <row r="21" spans="1:10" x14ac:dyDescent="0.25">
      <c r="A21" s="5" t="s">
        <v>2</v>
      </c>
      <c r="B21" s="3"/>
      <c r="C21" s="3"/>
      <c r="D21" s="3"/>
      <c r="E21" s="3"/>
      <c r="F21" s="4"/>
      <c r="G21" s="6"/>
      <c r="J21"/>
    </row>
    <row r="22" spans="1:10" x14ac:dyDescent="0.25">
      <c r="A22" s="3" t="s">
        <v>10</v>
      </c>
      <c r="B22" s="3" t="s">
        <v>33</v>
      </c>
      <c r="C22" s="3">
        <v>1</v>
      </c>
      <c r="D22" s="3"/>
      <c r="E22" s="3"/>
      <c r="F22" s="4">
        <f>Components!$B$13*C22</f>
        <v>8000000</v>
      </c>
      <c r="G22" s="6"/>
      <c r="J22"/>
    </row>
    <row r="23" spans="1:10" x14ac:dyDescent="0.25">
      <c r="A23" s="3" t="s">
        <v>10</v>
      </c>
      <c r="B23" s="3" t="s">
        <v>34</v>
      </c>
      <c r="C23" s="3">
        <v>1</v>
      </c>
      <c r="D23" s="3"/>
      <c r="E23" s="3"/>
      <c r="F23" s="4">
        <f>Components!$B$13*C23</f>
        <v>8000000</v>
      </c>
      <c r="G23" s="6"/>
    </row>
    <row r="24" spans="1:10" x14ac:dyDescent="0.25">
      <c r="A24" s="3" t="s">
        <v>10</v>
      </c>
      <c r="B24" s="3" t="s">
        <v>35</v>
      </c>
      <c r="C24" s="3">
        <v>1</v>
      </c>
      <c r="D24" s="3"/>
      <c r="E24" s="3"/>
      <c r="F24" s="4">
        <f>Components!$B$13*C24</f>
        <v>8000000</v>
      </c>
      <c r="G24" s="6"/>
    </row>
    <row r="25" spans="1:10" x14ac:dyDescent="0.25">
      <c r="A25" s="3" t="s">
        <v>10</v>
      </c>
      <c r="B25" s="3" t="s">
        <v>36</v>
      </c>
      <c r="C25" s="3">
        <v>1</v>
      </c>
      <c r="D25" s="3"/>
      <c r="E25" s="3"/>
      <c r="F25" s="4">
        <f>Components!$B$13*C25</f>
        <v>8000000</v>
      </c>
      <c r="G25" s="6"/>
    </row>
    <row r="26" spans="1:10" x14ac:dyDescent="0.25">
      <c r="A26" s="3" t="s">
        <v>10</v>
      </c>
      <c r="B26" s="3" t="s">
        <v>32</v>
      </c>
      <c r="C26" s="3">
        <v>1</v>
      </c>
      <c r="D26" s="3"/>
      <c r="E26" s="3"/>
      <c r="F26" s="4">
        <f>Components!$B$13*C26</f>
        <v>8000000</v>
      </c>
      <c r="G26" s="6"/>
    </row>
    <row r="27" spans="1:10" x14ac:dyDescent="0.25">
      <c r="A27" s="3" t="s">
        <v>10</v>
      </c>
      <c r="B27" s="3" t="s">
        <v>45</v>
      </c>
      <c r="C27" s="3">
        <v>1</v>
      </c>
      <c r="D27" s="3"/>
      <c r="E27" s="3"/>
      <c r="F27" s="4">
        <f>Components!$B$13*C27</f>
        <v>8000000</v>
      </c>
      <c r="G27" s="6"/>
    </row>
    <row r="28" spans="1:10" x14ac:dyDescent="0.25">
      <c r="A28" s="3" t="s">
        <v>10</v>
      </c>
      <c r="B28" s="3" t="s">
        <v>42</v>
      </c>
      <c r="C28" s="3">
        <v>1</v>
      </c>
      <c r="D28" s="3"/>
      <c r="E28" s="3"/>
      <c r="F28" s="4">
        <f>Components!$B$13*C28</f>
        <v>8000000</v>
      </c>
      <c r="G28" s="6"/>
    </row>
    <row r="29" spans="1:10" x14ac:dyDescent="0.25">
      <c r="A29" s="3"/>
      <c r="B29" s="3"/>
      <c r="C29" s="3"/>
      <c r="D29" s="3"/>
      <c r="E29" s="3"/>
      <c r="F29" s="4"/>
      <c r="G29" s="6">
        <f>SUM(F22:F28)</f>
        <v>56000000</v>
      </c>
    </row>
    <row r="30" spans="1:10" x14ac:dyDescent="0.25">
      <c r="A30" s="5" t="s">
        <v>3</v>
      </c>
      <c r="B30" s="3"/>
      <c r="C30" s="3"/>
      <c r="D30" s="3"/>
      <c r="E30" s="3"/>
      <c r="F30" s="4"/>
      <c r="G30" s="6"/>
    </row>
    <row r="31" spans="1:10" x14ac:dyDescent="0.25">
      <c r="A31" s="3"/>
      <c r="B31" s="3"/>
      <c r="C31" s="3"/>
      <c r="D31" s="3"/>
      <c r="E31" s="3"/>
      <c r="F31" s="4"/>
      <c r="G31" s="6"/>
    </row>
    <row r="32" spans="1:10" x14ac:dyDescent="0.25">
      <c r="A32" s="3"/>
      <c r="B32" s="3" t="s">
        <v>12</v>
      </c>
      <c r="C32" s="3"/>
      <c r="D32" s="3"/>
      <c r="E32" s="3"/>
      <c r="F32" s="4">
        <f>SUM(F2:F30)</f>
        <v>2963600000</v>
      </c>
      <c r="G32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8F4D-3FD0-4534-904C-AC10FEDC3CDA}">
  <dimension ref="A1:L33"/>
  <sheetViews>
    <sheetView tabSelected="1" zoomScaleNormal="100" workbookViewId="0">
      <selection activeCell="D23" sqref="D23"/>
    </sheetView>
  </sheetViews>
  <sheetFormatPr defaultRowHeight="15" x14ac:dyDescent="0.25"/>
  <cols>
    <col min="1" max="1" width="35.5703125" customWidth="1"/>
    <col min="2" max="2" width="64" bestFit="1" customWidth="1"/>
    <col min="3" max="3" width="9.140625" customWidth="1"/>
    <col min="4" max="4" width="13.5703125" customWidth="1"/>
    <col min="5" max="5" width="11.5703125" customWidth="1"/>
    <col min="6" max="6" width="20" style="1" bestFit="1" customWidth="1"/>
    <col min="7" max="7" width="17.7109375" style="2" customWidth="1"/>
    <col min="9" max="9" width="31.85546875" bestFit="1" customWidth="1"/>
    <col min="10" max="10" width="18.5703125" style="1" customWidth="1"/>
    <col min="11" max="11" width="21.85546875" bestFit="1" customWidth="1"/>
    <col min="12" max="12" width="17.85546875" style="1" customWidth="1"/>
  </cols>
  <sheetData>
    <row r="1" spans="1:10" x14ac:dyDescent="0.25">
      <c r="A1" s="5" t="s">
        <v>19</v>
      </c>
      <c r="B1" s="5" t="s">
        <v>4</v>
      </c>
      <c r="C1" s="5" t="s">
        <v>5</v>
      </c>
      <c r="D1" s="5" t="s">
        <v>30</v>
      </c>
      <c r="E1" s="5" t="s">
        <v>31</v>
      </c>
      <c r="F1" s="6" t="s">
        <v>6</v>
      </c>
      <c r="G1" s="6" t="s">
        <v>55</v>
      </c>
      <c r="J1"/>
    </row>
    <row r="2" spans="1:10" x14ac:dyDescent="0.25">
      <c r="A2" s="5" t="s">
        <v>0</v>
      </c>
      <c r="B2" s="3"/>
      <c r="C2" s="3"/>
      <c r="D2" s="3"/>
      <c r="E2" s="3"/>
      <c r="F2" s="4"/>
      <c r="G2" s="6"/>
      <c r="J2"/>
    </row>
    <row r="3" spans="1:10" x14ac:dyDescent="0.25">
      <c r="A3" s="3" t="s">
        <v>7</v>
      </c>
      <c r="B3" s="3" t="s">
        <v>50</v>
      </c>
      <c r="C3" s="3">
        <v>1</v>
      </c>
      <c r="D3" s="3">
        <v>58</v>
      </c>
      <c r="E3" s="3">
        <f>D3*1.2</f>
        <v>69.599999999999994</v>
      </c>
      <c r="F3" s="4">
        <f>(Components!$B$4+(E3*Components!$C$4))*C3</f>
        <v>223799999.99999997</v>
      </c>
      <c r="G3" s="6"/>
      <c r="J3"/>
    </row>
    <row r="4" spans="1:10" x14ac:dyDescent="0.25">
      <c r="A4" s="3" t="s">
        <v>7</v>
      </c>
      <c r="B4" s="3" t="s">
        <v>51</v>
      </c>
      <c r="C4" s="3">
        <v>1</v>
      </c>
      <c r="D4" s="3">
        <v>98</v>
      </c>
      <c r="E4" s="3">
        <f>D4*1.2</f>
        <v>117.6</v>
      </c>
      <c r="F4" s="4">
        <f>(Components!$B$4+(E4*Components!$C$4))*C4</f>
        <v>367800000</v>
      </c>
      <c r="G4" s="6"/>
      <c r="J4"/>
    </row>
    <row r="5" spans="1:10" x14ac:dyDescent="0.25">
      <c r="A5" s="3" t="s">
        <v>7</v>
      </c>
      <c r="B5" s="3" t="s">
        <v>52</v>
      </c>
      <c r="C5" s="3">
        <v>1</v>
      </c>
      <c r="D5" s="3">
        <v>72</v>
      </c>
      <c r="E5" s="3">
        <f>D5*1.2</f>
        <v>86.399999999999991</v>
      </c>
      <c r="F5" s="4">
        <f>(Components!$B$4+(E5*Components!$C$4))*C5</f>
        <v>274200000</v>
      </c>
      <c r="G5" s="6"/>
      <c r="J5"/>
    </row>
    <row r="6" spans="1:10" x14ac:dyDescent="0.25">
      <c r="A6" s="3" t="s">
        <v>7</v>
      </c>
      <c r="B6" s="3" t="s">
        <v>53</v>
      </c>
      <c r="C6" s="3">
        <v>1</v>
      </c>
      <c r="D6" s="3">
        <v>106</v>
      </c>
      <c r="E6" s="3">
        <f>D6*1.2</f>
        <v>127.19999999999999</v>
      </c>
      <c r="F6" s="4">
        <f>(Components!$B$4+(E6*Components!$C$4))*C6</f>
        <v>396599999.99999994</v>
      </c>
      <c r="G6" s="6"/>
      <c r="J6"/>
    </row>
    <row r="7" spans="1:10" x14ac:dyDescent="0.25">
      <c r="A7" s="3" t="s">
        <v>7</v>
      </c>
      <c r="B7" s="3" t="s">
        <v>54</v>
      </c>
      <c r="C7" s="3">
        <v>1</v>
      </c>
      <c r="D7" s="3">
        <v>212</v>
      </c>
      <c r="E7" s="3">
        <f>D7*1.2</f>
        <v>254.39999999999998</v>
      </c>
      <c r="F7" s="4">
        <f>(Components!$B$4+(E7*Components!$C$4))*C7</f>
        <v>778199999.99999988</v>
      </c>
      <c r="G7" s="6"/>
      <c r="J7"/>
    </row>
    <row r="8" spans="1:10" x14ac:dyDescent="0.25">
      <c r="A8" s="3" t="s">
        <v>7</v>
      </c>
      <c r="B8" s="3" t="s">
        <v>47</v>
      </c>
      <c r="C8" s="3">
        <v>3</v>
      </c>
      <c r="D8" s="3">
        <v>34</v>
      </c>
      <c r="E8" s="3">
        <f>D8*1.2</f>
        <v>40.799999999999997</v>
      </c>
      <c r="F8" s="4">
        <f>(Components!$B$4+(E8*Components!$C$4))*C8</f>
        <v>412200000</v>
      </c>
      <c r="G8" s="6"/>
      <c r="J8"/>
    </row>
    <row r="9" spans="1:10" x14ac:dyDescent="0.25">
      <c r="A9" s="3" t="s">
        <v>7</v>
      </c>
      <c r="B9" s="3" t="s">
        <v>46</v>
      </c>
      <c r="C9" s="3">
        <v>1</v>
      </c>
      <c r="D9" s="3">
        <v>54</v>
      </c>
      <c r="E9" s="3">
        <f>D9*1.2</f>
        <v>64.8</v>
      </c>
      <c r="F9" s="4">
        <f>(Components!$B$4+(E9*Components!$C$4))*C9</f>
        <v>209400000</v>
      </c>
      <c r="G9" s="6"/>
      <c r="J9"/>
    </row>
    <row r="10" spans="1:10" x14ac:dyDescent="0.25">
      <c r="A10" s="27" t="s">
        <v>7</v>
      </c>
      <c r="B10" s="27" t="s">
        <v>49</v>
      </c>
      <c r="C10" s="27">
        <v>1</v>
      </c>
      <c r="D10" s="27">
        <v>65</v>
      </c>
      <c r="E10" s="27">
        <f>D10*1.2</f>
        <v>78</v>
      </c>
      <c r="F10" s="4">
        <f>(Components!$B$4+(E10*Components!$C$4))*C10</f>
        <v>249000000</v>
      </c>
      <c r="G10" s="6"/>
      <c r="J10"/>
    </row>
    <row r="11" spans="1:10" x14ac:dyDescent="0.25">
      <c r="A11" s="3" t="s">
        <v>7</v>
      </c>
      <c r="B11" s="3" t="s">
        <v>48</v>
      </c>
      <c r="C11" s="3">
        <v>1</v>
      </c>
      <c r="D11" s="3">
        <v>25</v>
      </c>
      <c r="E11" s="3">
        <f>D11*1.2</f>
        <v>30</v>
      </c>
      <c r="F11" s="4">
        <f>(Components!$B$4+(E11*Components!$C$4))*C11</f>
        <v>105000000</v>
      </c>
      <c r="G11" s="6"/>
      <c r="J11"/>
    </row>
    <row r="12" spans="1:10" x14ac:dyDescent="0.25">
      <c r="A12" s="3"/>
      <c r="B12" s="3"/>
      <c r="C12" s="3"/>
      <c r="D12" s="3"/>
      <c r="E12" s="3"/>
      <c r="F12" s="4"/>
      <c r="G12" s="6">
        <f>SUM(F3:F11)</f>
        <v>3016200000</v>
      </c>
      <c r="J12"/>
    </row>
    <row r="13" spans="1:10" x14ac:dyDescent="0.25">
      <c r="A13" s="5" t="s">
        <v>1</v>
      </c>
      <c r="B13" s="3"/>
      <c r="C13" s="3"/>
      <c r="D13" s="3"/>
      <c r="E13" s="3"/>
      <c r="F13" s="4"/>
      <c r="G13" s="6"/>
      <c r="J13"/>
    </row>
    <row r="14" spans="1:10" x14ac:dyDescent="0.25">
      <c r="A14" s="3" t="s">
        <v>9</v>
      </c>
      <c r="B14" s="3" t="s">
        <v>37</v>
      </c>
      <c r="C14" s="3">
        <v>2</v>
      </c>
      <c r="D14" s="3"/>
      <c r="E14" s="3"/>
      <c r="F14" s="4">
        <f>Components!$B$8*C14</f>
        <v>24000000</v>
      </c>
      <c r="G14" s="6"/>
      <c r="J14"/>
    </row>
    <row r="15" spans="1:10" x14ac:dyDescent="0.25">
      <c r="A15" s="3" t="s">
        <v>9</v>
      </c>
      <c r="B15" s="3" t="s">
        <v>38</v>
      </c>
      <c r="C15" s="3">
        <v>2</v>
      </c>
      <c r="D15" s="3"/>
      <c r="E15" s="3"/>
      <c r="F15" s="4">
        <f>Components!$B$8*C15</f>
        <v>24000000</v>
      </c>
      <c r="G15" s="6"/>
      <c r="J15"/>
    </row>
    <row r="16" spans="1:10" x14ac:dyDescent="0.25">
      <c r="A16" s="3" t="s">
        <v>9</v>
      </c>
      <c r="B16" s="3" t="s">
        <v>39</v>
      </c>
      <c r="C16" s="3">
        <v>2</v>
      </c>
      <c r="D16" s="3"/>
      <c r="E16" s="3"/>
      <c r="F16" s="4">
        <f>Components!$B$8*C16</f>
        <v>24000000</v>
      </c>
      <c r="G16" s="6"/>
      <c r="J16"/>
    </row>
    <row r="17" spans="1:10" x14ac:dyDescent="0.25">
      <c r="A17" s="3" t="s">
        <v>9</v>
      </c>
      <c r="B17" s="3" t="s">
        <v>40</v>
      </c>
      <c r="C17" s="3">
        <v>2</v>
      </c>
      <c r="D17" s="3"/>
      <c r="E17" s="3"/>
      <c r="F17" s="4">
        <f>Components!$B$8*C17</f>
        <v>24000000</v>
      </c>
      <c r="G17" s="6"/>
      <c r="J17"/>
    </row>
    <row r="18" spans="1:10" x14ac:dyDescent="0.25">
      <c r="A18" s="3" t="s">
        <v>9</v>
      </c>
      <c r="B18" s="3" t="s">
        <v>41</v>
      </c>
      <c r="C18" s="3">
        <v>2</v>
      </c>
      <c r="D18" s="3"/>
      <c r="E18" s="3"/>
      <c r="F18" s="4">
        <f>Components!$B$8*C18</f>
        <v>24000000</v>
      </c>
      <c r="G18" s="6"/>
      <c r="J18"/>
    </row>
    <row r="19" spans="1:10" x14ac:dyDescent="0.25">
      <c r="A19" s="3" t="s">
        <v>9</v>
      </c>
      <c r="B19" s="3" t="s">
        <v>44</v>
      </c>
      <c r="C19" s="3">
        <v>2</v>
      </c>
      <c r="D19" s="3"/>
      <c r="E19" s="3"/>
      <c r="F19" s="4">
        <f>Components!$B$8*C19</f>
        <v>24000000</v>
      </c>
      <c r="G19" s="6"/>
      <c r="J19"/>
    </row>
    <row r="20" spans="1:10" x14ac:dyDescent="0.25">
      <c r="A20" s="3" t="s">
        <v>9</v>
      </c>
      <c r="B20" s="3" t="s">
        <v>43</v>
      </c>
      <c r="C20" s="3">
        <v>2</v>
      </c>
      <c r="D20" s="3"/>
      <c r="E20" s="3"/>
      <c r="F20" s="4">
        <f>Components!$B$8*C20</f>
        <v>24000000</v>
      </c>
      <c r="G20" s="6"/>
      <c r="J20"/>
    </row>
    <row r="21" spans="1:10" x14ac:dyDescent="0.25">
      <c r="A21" s="3"/>
      <c r="B21" s="3"/>
      <c r="C21" s="3"/>
      <c r="D21" s="3"/>
      <c r="E21" s="3"/>
      <c r="F21" s="4"/>
      <c r="G21" s="6">
        <f>SUM(F14:F20)</f>
        <v>168000000</v>
      </c>
      <c r="J21"/>
    </row>
    <row r="22" spans="1:10" x14ac:dyDescent="0.25">
      <c r="A22" s="5" t="s">
        <v>2</v>
      </c>
      <c r="B22" s="3"/>
      <c r="C22" s="3"/>
      <c r="D22" s="3"/>
      <c r="E22" s="3"/>
      <c r="F22" s="4"/>
      <c r="G22" s="6"/>
      <c r="J22"/>
    </row>
    <row r="23" spans="1:10" x14ac:dyDescent="0.25">
      <c r="A23" s="3" t="s">
        <v>10</v>
      </c>
      <c r="B23" s="3" t="s">
        <v>33</v>
      </c>
      <c r="C23" s="3">
        <v>1</v>
      </c>
      <c r="D23" s="3"/>
      <c r="E23" s="3"/>
      <c r="F23" s="4">
        <f>Components!$B$13*C23</f>
        <v>8000000</v>
      </c>
      <c r="G23" s="6"/>
      <c r="J23"/>
    </row>
    <row r="24" spans="1:10" x14ac:dyDescent="0.25">
      <c r="A24" s="3" t="s">
        <v>10</v>
      </c>
      <c r="B24" s="3" t="s">
        <v>34</v>
      </c>
      <c r="C24" s="3">
        <v>1</v>
      </c>
      <c r="D24" s="3"/>
      <c r="E24" s="3"/>
      <c r="F24" s="4">
        <f>Components!$B$13*C24</f>
        <v>8000000</v>
      </c>
      <c r="G24" s="6"/>
    </row>
    <row r="25" spans="1:10" x14ac:dyDescent="0.25">
      <c r="A25" s="3" t="s">
        <v>10</v>
      </c>
      <c r="B25" s="3" t="s">
        <v>35</v>
      </c>
      <c r="C25" s="3">
        <v>1</v>
      </c>
      <c r="D25" s="3"/>
      <c r="E25" s="3"/>
      <c r="F25" s="4">
        <f>Components!$B$13*C25</f>
        <v>8000000</v>
      </c>
      <c r="G25" s="6"/>
    </row>
    <row r="26" spans="1:10" x14ac:dyDescent="0.25">
      <c r="A26" s="3" t="s">
        <v>10</v>
      </c>
      <c r="B26" s="3" t="s">
        <v>36</v>
      </c>
      <c r="C26" s="3">
        <v>1</v>
      </c>
      <c r="D26" s="3"/>
      <c r="E26" s="3"/>
      <c r="F26" s="4">
        <f>Components!$B$13*C26</f>
        <v>8000000</v>
      </c>
      <c r="G26" s="6"/>
    </row>
    <row r="27" spans="1:10" x14ac:dyDescent="0.25">
      <c r="A27" s="3" t="s">
        <v>10</v>
      </c>
      <c r="B27" s="3" t="s">
        <v>32</v>
      </c>
      <c r="C27" s="3">
        <v>1</v>
      </c>
      <c r="D27" s="3"/>
      <c r="E27" s="3"/>
      <c r="F27" s="4">
        <f>Components!$B$13*C27</f>
        <v>8000000</v>
      </c>
      <c r="G27" s="6"/>
    </row>
    <row r="28" spans="1:10" x14ac:dyDescent="0.25">
      <c r="A28" s="3" t="s">
        <v>10</v>
      </c>
      <c r="B28" s="3" t="s">
        <v>45</v>
      </c>
      <c r="C28" s="3">
        <v>1</v>
      </c>
      <c r="D28" s="3"/>
      <c r="E28" s="3"/>
      <c r="F28" s="4">
        <f>Components!$B$13*C28</f>
        <v>8000000</v>
      </c>
      <c r="G28" s="6"/>
    </row>
    <row r="29" spans="1:10" x14ac:dyDescent="0.25">
      <c r="A29" s="3" t="s">
        <v>10</v>
      </c>
      <c r="B29" s="3" t="s">
        <v>42</v>
      </c>
      <c r="C29" s="3">
        <v>1</v>
      </c>
      <c r="D29" s="3"/>
      <c r="E29" s="3"/>
      <c r="F29" s="4">
        <f>Components!$B$13*C29</f>
        <v>8000000</v>
      </c>
      <c r="G29" s="6"/>
    </row>
    <row r="30" spans="1:10" x14ac:dyDescent="0.25">
      <c r="A30" s="3"/>
      <c r="B30" s="3"/>
      <c r="C30" s="3"/>
      <c r="D30" s="3"/>
      <c r="E30" s="3"/>
      <c r="F30" s="4"/>
      <c r="G30" s="6">
        <f>SUM(F23:F29)</f>
        <v>56000000</v>
      </c>
    </row>
    <row r="31" spans="1:10" x14ac:dyDescent="0.25">
      <c r="A31" s="5" t="s">
        <v>3</v>
      </c>
      <c r="B31" s="3"/>
      <c r="C31" s="3"/>
      <c r="D31" s="3"/>
      <c r="E31" s="3"/>
      <c r="F31" s="4"/>
      <c r="G31" s="6"/>
    </row>
    <row r="32" spans="1:10" x14ac:dyDescent="0.25">
      <c r="A32" s="3"/>
      <c r="B32" s="3"/>
      <c r="C32" s="3"/>
      <c r="D32" s="3"/>
      <c r="E32" s="3"/>
      <c r="F32" s="4"/>
      <c r="G32" s="6"/>
    </row>
    <row r="33" spans="1:7" x14ac:dyDescent="0.25">
      <c r="A33" s="3"/>
      <c r="B33" s="3" t="s">
        <v>12</v>
      </c>
      <c r="C33" s="3"/>
      <c r="D33" s="3"/>
      <c r="E33" s="3"/>
      <c r="F33" s="4">
        <f>SUM(F2:F31)</f>
        <v>3240200000</v>
      </c>
      <c r="G3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5945-8036-4C19-9419-08D4C7CA7491}">
  <dimension ref="A1:F18"/>
  <sheetViews>
    <sheetView workbookViewId="0">
      <selection activeCell="B20" sqref="B20"/>
    </sheetView>
  </sheetViews>
  <sheetFormatPr defaultRowHeight="15" x14ac:dyDescent="0.25"/>
  <cols>
    <col min="1" max="1" width="31.85546875" bestFit="1" customWidth="1"/>
    <col min="2" max="2" width="15.28515625" bestFit="1" customWidth="1"/>
    <col min="3" max="3" width="22.42578125" bestFit="1" customWidth="1"/>
    <col min="4" max="4" width="24.140625" bestFit="1" customWidth="1"/>
    <col min="5" max="5" width="12.85546875" bestFit="1" customWidth="1"/>
    <col min="6" max="6" width="23.140625" bestFit="1" customWidth="1"/>
  </cols>
  <sheetData>
    <row r="1" spans="1:6" x14ac:dyDescent="0.25">
      <c r="A1" s="16" t="s">
        <v>18</v>
      </c>
      <c r="B1" s="17"/>
      <c r="C1" s="18"/>
      <c r="D1" s="19"/>
      <c r="E1" s="19"/>
      <c r="F1" s="19"/>
    </row>
    <row r="2" spans="1:6" x14ac:dyDescent="0.25">
      <c r="A2" s="11" t="s">
        <v>20</v>
      </c>
      <c r="B2" s="11" t="s">
        <v>21</v>
      </c>
      <c r="C2" s="11" t="s">
        <v>22</v>
      </c>
      <c r="D2" s="19" t="s">
        <v>25</v>
      </c>
      <c r="E2" s="19" t="s">
        <v>26</v>
      </c>
      <c r="F2" s="19" t="s">
        <v>27</v>
      </c>
    </row>
    <row r="3" spans="1:6" x14ac:dyDescent="0.25">
      <c r="A3" s="7" t="s">
        <v>8</v>
      </c>
      <c r="B3" s="15">
        <v>8000000</v>
      </c>
      <c r="C3" s="15">
        <v>1300000</v>
      </c>
      <c r="D3" s="7">
        <v>1.1999999999999999E-3</v>
      </c>
      <c r="E3" s="7">
        <v>400</v>
      </c>
      <c r="F3" s="7">
        <v>115</v>
      </c>
    </row>
    <row r="4" spans="1:6" x14ac:dyDescent="0.25">
      <c r="A4" s="7" t="s">
        <v>7</v>
      </c>
      <c r="B4" s="15">
        <v>15000000</v>
      </c>
      <c r="C4" s="15">
        <v>3000000</v>
      </c>
      <c r="D4" s="7">
        <v>2.0000000000000001E-4</v>
      </c>
      <c r="E4" s="7">
        <v>1600</v>
      </c>
      <c r="F4" s="7">
        <v>200</v>
      </c>
    </row>
    <row r="6" spans="1:6" x14ac:dyDescent="0.25">
      <c r="A6" s="20" t="s">
        <v>23</v>
      </c>
      <c r="B6" s="20"/>
      <c r="C6" s="21"/>
      <c r="D6" s="21"/>
    </row>
    <row r="7" spans="1:6" x14ac:dyDescent="0.25">
      <c r="A7" s="14" t="s">
        <v>20</v>
      </c>
      <c r="B7" s="12" t="s">
        <v>21</v>
      </c>
      <c r="C7" s="22" t="s">
        <v>28</v>
      </c>
      <c r="D7" s="22" t="s">
        <v>26</v>
      </c>
    </row>
    <row r="8" spans="1:6" x14ac:dyDescent="0.25">
      <c r="A8" s="10" t="s">
        <v>9</v>
      </c>
      <c r="B8" s="13">
        <v>12000000</v>
      </c>
      <c r="C8" s="10">
        <v>1.4999999999999999E-2</v>
      </c>
      <c r="D8" s="10">
        <v>1100</v>
      </c>
    </row>
    <row r="9" spans="1:6" x14ac:dyDescent="0.25">
      <c r="A9" s="10" t="s">
        <v>13</v>
      </c>
      <c r="B9" s="13">
        <v>1800000</v>
      </c>
      <c r="C9" s="10">
        <v>0.05</v>
      </c>
      <c r="D9" s="10">
        <v>200</v>
      </c>
    </row>
    <row r="10" spans="1:6" x14ac:dyDescent="0.25">
      <c r="A10" s="8"/>
      <c r="B10" s="9"/>
    </row>
    <row r="11" spans="1:6" x14ac:dyDescent="0.25">
      <c r="A11" s="23" t="s">
        <v>24</v>
      </c>
      <c r="B11" s="24"/>
    </row>
    <row r="12" spans="1:6" x14ac:dyDescent="0.25">
      <c r="A12" s="25" t="s">
        <v>20</v>
      </c>
      <c r="B12" s="26" t="s">
        <v>21</v>
      </c>
    </row>
    <row r="13" spans="1:6" x14ac:dyDescent="0.25">
      <c r="A13" s="3" t="s">
        <v>29</v>
      </c>
      <c r="B13" s="4">
        <v>8000000</v>
      </c>
    </row>
    <row r="14" spans="1:6" x14ac:dyDescent="0.25">
      <c r="A14" s="3" t="s">
        <v>14</v>
      </c>
      <c r="B14" s="4">
        <v>11000000</v>
      </c>
    </row>
    <row r="15" spans="1:6" x14ac:dyDescent="0.25">
      <c r="A15" s="3" t="s">
        <v>15</v>
      </c>
      <c r="B15" s="4">
        <f>B14+3000000</f>
        <v>14000000</v>
      </c>
    </row>
    <row r="16" spans="1:6" x14ac:dyDescent="0.25">
      <c r="A16" s="3" t="s">
        <v>11</v>
      </c>
      <c r="B16" s="4">
        <v>7000000</v>
      </c>
    </row>
    <row r="17" spans="1:2" x14ac:dyDescent="0.25">
      <c r="A17" s="3" t="s">
        <v>16</v>
      </c>
      <c r="B17" s="4">
        <v>4000000</v>
      </c>
    </row>
    <row r="18" spans="1:2" x14ac:dyDescent="0.25">
      <c r="A18" s="3" t="s">
        <v>17</v>
      </c>
      <c r="B18" s="4">
        <f>B17+8000000</f>
        <v>12000000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OPEN LOOP</vt:lpstr>
      <vt:lpstr>Cost RING LOOP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Matt</dc:creator>
  <cp:lastModifiedBy>Lee, Matt</cp:lastModifiedBy>
  <dcterms:created xsi:type="dcterms:W3CDTF">2025-12-08T17:21:26Z</dcterms:created>
  <dcterms:modified xsi:type="dcterms:W3CDTF">2025-12-09T22:55:15Z</dcterms:modified>
</cp:coreProperties>
</file>